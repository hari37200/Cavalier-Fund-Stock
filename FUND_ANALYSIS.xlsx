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mmer\"/>
    </mc:Choice>
  </mc:AlternateContent>
  <xr:revisionPtr revIDLastSave="0" documentId="8_{1EA47438-7B01-42D8-B4ED-BEE8F4EB20DA}" xr6:coauthVersionLast="47" xr6:coauthVersionMax="47" xr10:uidLastSave="{00000000-0000-0000-0000-000000000000}"/>
  <bookViews>
    <workbookView xWindow="-108" yWindow="-108" windowWidth="23256" windowHeight="12456" activeTab="1" xr2:uid="{77D67D22-8F2F-4702-823F-8FF6A8FF1F0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2" i="2"/>
  <c r="B9" i="2"/>
  <c r="E2" i="2"/>
  <c r="E3" i="2"/>
  <c r="E4" i="2"/>
  <c r="E5" i="2"/>
</calcChain>
</file>

<file path=xl/sharedStrings.xml><?xml version="1.0" encoding="utf-8"?>
<sst xmlns="http://schemas.openxmlformats.org/spreadsheetml/2006/main" count="52" uniqueCount="38">
  <si>
    <t>Stock</t>
  </si>
  <si>
    <t>Industry</t>
  </si>
  <si>
    <t>Anticipated Return</t>
  </si>
  <si>
    <t>Standard Deviation</t>
  </si>
  <si>
    <t>Beta (OLS)</t>
  </si>
  <si>
    <t>Dividend Yield</t>
  </si>
  <si>
    <t>P/E Ratio</t>
  </si>
  <si>
    <t>Safety Rating</t>
  </si>
  <si>
    <t>Bond Rating</t>
  </si>
  <si>
    <t>Delphi</t>
  </si>
  <si>
    <t>Auto Parts</t>
  </si>
  <si>
    <t>Baa2</t>
  </si>
  <si>
    <t>Groupon</t>
  </si>
  <si>
    <t>Internet Information</t>
  </si>
  <si>
    <t>NMF (Not Meaningful)</t>
  </si>
  <si>
    <t>Not Available</t>
  </si>
  <si>
    <t>Kellogg</t>
  </si>
  <si>
    <t>Packaged Foods</t>
  </si>
  <si>
    <t>Kinross Gold</t>
  </si>
  <si>
    <t>Gold Mining</t>
  </si>
  <si>
    <t>Ba1</t>
  </si>
  <si>
    <t>Anticipated Annual Return</t>
  </si>
  <si>
    <t>S&amp;P 500 Arithmetic Mean</t>
  </si>
  <si>
    <t>30-day Treasury Bills</t>
  </si>
  <si>
    <t>Sum</t>
  </si>
  <si>
    <t>Average</t>
  </si>
  <si>
    <t>Running Total</t>
  </si>
  <si>
    <t>Count</t>
  </si>
  <si>
    <t>Sharpe ratio</t>
  </si>
  <si>
    <t>risk free rate</t>
  </si>
  <si>
    <t>standard deviation for asset groupon and kinross gold combined</t>
  </si>
  <si>
    <t>correlation (assumed -0.2)</t>
  </si>
  <si>
    <t xml:space="preserve">Market return </t>
  </si>
  <si>
    <t>Market risk premium</t>
  </si>
  <si>
    <t>CAPM return</t>
  </si>
  <si>
    <t>overvalued/undervalued</t>
  </si>
  <si>
    <t>undervalued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</si>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</sst>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000000000000%"/>
    <numFmt numFmtId="168" formatCode="0.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7" fontId="1" fillId="0" borderId="0" xfId="0" applyNumberFormat="1" applyFont="1" applyAlignment="1">
      <alignment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1A9D2-499D-4385-B37C-83A357CF0E21}">
  <dimension ref="A1:I5"/>
  <sheetViews>
    <sheetView workbookViewId="0">
      <selection activeCell="E1" sqref="E1:E5"/>
    </sheetView>
  </sheetViews>
  <sheetFormatPr defaultRowHeight="14.4" x14ac:dyDescent="0.3"/>
  <cols>
    <col min="2" max="2" width="21.21875" customWidth="1"/>
    <col min="3" max="3" width="20" customWidth="1"/>
    <col min="4" max="4" width="18.77734375" customWidth="1"/>
    <col min="5" max="5" width="13.5546875" customWidth="1"/>
    <col min="6" max="6" width="11.5546875" customWidth="1"/>
    <col min="7" max="7" width="11.77734375" customWidth="1"/>
    <col min="8" max="8" width="10.44140625" customWidth="1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3" t="s">
        <v>9</v>
      </c>
      <c r="B2" s="2" t="s">
        <v>10</v>
      </c>
      <c r="C2" s="6">
        <v>9.0999999999999998E-2</v>
      </c>
      <c r="D2" s="6">
        <v>0.248</v>
      </c>
      <c r="E2" s="3">
        <v>1.3</v>
      </c>
      <c r="F2" s="5">
        <v>1.52E-2</v>
      </c>
      <c r="G2" s="2">
        <v>13.6</v>
      </c>
      <c r="H2" s="2">
        <v>3</v>
      </c>
      <c r="I2" s="2" t="s">
        <v>11</v>
      </c>
    </row>
    <row r="3" spans="1:9" ht="28.8" x14ac:dyDescent="0.3">
      <c r="A3" s="3" t="s">
        <v>12</v>
      </c>
      <c r="B3" s="2" t="s">
        <v>13</v>
      </c>
      <c r="C3" s="6">
        <v>9.2999999999999999E-2</v>
      </c>
      <c r="D3" s="6">
        <v>0.67300000000000004</v>
      </c>
      <c r="E3" s="3">
        <v>1.44</v>
      </c>
      <c r="F3" s="5">
        <v>0</v>
      </c>
      <c r="G3" s="2" t="s">
        <v>14</v>
      </c>
      <c r="H3" s="2">
        <v>5</v>
      </c>
      <c r="I3" s="2" t="s">
        <v>15</v>
      </c>
    </row>
    <row r="4" spans="1:9" x14ac:dyDescent="0.3">
      <c r="A4" s="3" t="s">
        <v>16</v>
      </c>
      <c r="B4" s="2" t="s">
        <v>17</v>
      </c>
      <c r="C4" s="6">
        <v>4.5999999999999999E-2</v>
      </c>
      <c r="D4" s="6">
        <v>0.14599999999999999</v>
      </c>
      <c r="E4" s="3">
        <v>0.54</v>
      </c>
      <c r="F4" s="5">
        <v>2.75E-2</v>
      </c>
      <c r="G4" s="2">
        <v>19.3</v>
      </c>
      <c r="H4" s="2">
        <v>1</v>
      </c>
      <c r="I4" s="2" t="s">
        <v>11</v>
      </c>
    </row>
    <row r="5" spans="1:9" ht="28.8" x14ac:dyDescent="0.3">
      <c r="A5" s="3" t="s">
        <v>18</v>
      </c>
      <c r="B5" s="2" t="s">
        <v>19</v>
      </c>
      <c r="C5" s="6">
        <v>8.4000000000000005E-2</v>
      </c>
      <c r="D5" s="6">
        <v>0.65</v>
      </c>
      <c r="E5" s="3">
        <v>0.31</v>
      </c>
      <c r="F5" s="5">
        <v>0</v>
      </c>
      <c r="G5" s="2">
        <v>24.6</v>
      </c>
      <c r="H5" s="2">
        <v>5</v>
      </c>
      <c r="I5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D523A-CFD2-4072-A2BB-D8CD517A47C2}">
  <dimension ref="A1:J9"/>
  <sheetViews>
    <sheetView tabSelected="1" workbookViewId="0">
      <selection activeCell="I2" sqref="I2"/>
    </sheetView>
  </sheetViews>
  <sheetFormatPr defaultRowHeight="14.4" x14ac:dyDescent="0.3"/>
  <cols>
    <col min="1" max="1" width="20.88671875" customWidth="1"/>
    <col min="2" max="2" width="16.5546875" customWidth="1"/>
    <col min="4" max="4" width="20.5546875" customWidth="1"/>
    <col min="5" max="5" width="21.33203125" bestFit="1" customWidth="1"/>
    <col min="6" max="6" width="16.44140625" customWidth="1"/>
    <col min="8" max="8" width="12.77734375" customWidth="1"/>
    <col min="10" max="10" width="13.33203125" customWidth="1"/>
  </cols>
  <sheetData>
    <row r="1" spans="1:10" ht="43.2" x14ac:dyDescent="0.3">
      <c r="A1" s="1" t="s">
        <v>0</v>
      </c>
      <c r="B1" s="1" t="s">
        <v>21</v>
      </c>
      <c r="C1" s="8" t="s">
        <v>29</v>
      </c>
      <c r="D1" s="1" t="s">
        <v>3</v>
      </c>
      <c r="E1" s="3" t="s">
        <v>28</v>
      </c>
      <c r="F1" s="7" t="s">
        <v>32</v>
      </c>
      <c r="G1" s="1" t="s">
        <v>33</v>
      </c>
      <c r="H1" s="1" t="s">
        <v>4</v>
      </c>
      <c r="I1" s="8" t="s">
        <v>34</v>
      </c>
      <c r="J1" s="8" t="s">
        <v>35</v>
      </c>
    </row>
    <row r="2" spans="1:10" x14ac:dyDescent="0.3">
      <c r="A2" s="2" t="s">
        <v>9</v>
      </c>
      <c r="B2" s="5">
        <v>9.0999999999999998E-2</v>
      </c>
      <c r="C2" s="5">
        <v>3.4000000000000002E-2</v>
      </c>
      <c r="D2" s="6">
        <v>0.248</v>
      </c>
      <c r="E2" s="10">
        <f>(B2-C2)/(D2*100)</f>
        <v>2.2983870967741931E-3</v>
      </c>
      <c r="F2" s="4">
        <v>0.12</v>
      </c>
      <c r="G2" s="4">
        <v>8.5999999999999993E-2</v>
      </c>
      <c r="H2" s="3">
        <v>1.3</v>
      </c>
      <c r="I2" s="13">
        <f>C2+H2*G2</f>
        <v>0.14579999999999999</v>
      </c>
      <c r="J2" t="s">
        <v>37</v>
      </c>
    </row>
    <row r="3" spans="1:10" x14ac:dyDescent="0.3">
      <c r="A3" s="2" t="s">
        <v>12</v>
      </c>
      <c r="B3" s="5">
        <v>9.2999999999999999E-2</v>
      </c>
      <c r="C3" s="5">
        <v>3.4000000000000002E-2</v>
      </c>
      <c r="D3" s="6">
        <v>0.67300000000000004</v>
      </c>
      <c r="E3" s="10">
        <f t="shared" ref="E3:E5" si="0">(B3-C3)/(D3*100)</f>
        <v>8.7667161961366992E-4</v>
      </c>
      <c r="F3" s="4">
        <v>0.12</v>
      </c>
      <c r="G3" s="4">
        <v>8.5999999999999993E-2</v>
      </c>
      <c r="H3" s="3">
        <v>1.44</v>
      </c>
      <c r="I3" s="13">
        <f t="shared" ref="I3:I5" si="1">C3+H3*G3</f>
        <v>0.15783999999999998</v>
      </c>
      <c r="J3" t="s">
        <v>37</v>
      </c>
    </row>
    <row r="4" spans="1:10" x14ac:dyDescent="0.3">
      <c r="A4" s="2" t="s">
        <v>16</v>
      </c>
      <c r="B4" s="5">
        <v>4.5999999999999999E-2</v>
      </c>
      <c r="C4" s="5">
        <v>3.4000000000000002E-2</v>
      </c>
      <c r="D4" s="6">
        <v>0.14599999999999999</v>
      </c>
      <c r="E4" s="10">
        <f t="shared" si="0"/>
        <v>8.2191780821917792E-4</v>
      </c>
      <c r="F4" s="4">
        <v>0.12</v>
      </c>
      <c r="G4" s="4">
        <v>8.5999999999999993E-2</v>
      </c>
      <c r="H4" s="3">
        <v>0.54</v>
      </c>
      <c r="I4" s="13">
        <f t="shared" si="1"/>
        <v>8.0440000000000011E-2</v>
      </c>
      <c r="J4" t="s">
        <v>37</v>
      </c>
    </row>
    <row r="5" spans="1:10" x14ac:dyDescent="0.3">
      <c r="A5" s="2" t="s">
        <v>18</v>
      </c>
      <c r="B5" s="5">
        <v>8.4000000000000005E-2</v>
      </c>
      <c r="C5" s="5">
        <v>3.4000000000000002E-2</v>
      </c>
      <c r="D5" s="6">
        <v>0.65</v>
      </c>
      <c r="E5" s="10">
        <f t="shared" si="0"/>
        <v>7.6923076923076923E-4</v>
      </c>
      <c r="F5" s="4">
        <v>0.12</v>
      </c>
      <c r="G5" s="4">
        <v>8.5999999999999993E-2</v>
      </c>
      <c r="H5" s="3">
        <v>0.31</v>
      </c>
      <c r="I5" s="13">
        <f t="shared" si="1"/>
        <v>6.0659999999999999E-2</v>
      </c>
      <c r="J5" t="s">
        <v>36</v>
      </c>
    </row>
    <row r="7" spans="1:10" ht="28.8" x14ac:dyDescent="0.3">
      <c r="A7" s="11" t="s">
        <v>31</v>
      </c>
    </row>
    <row r="8" spans="1:10" x14ac:dyDescent="0.3">
      <c r="A8" s="2"/>
    </row>
    <row r="9" spans="1:10" ht="43.2" x14ac:dyDescent="0.3">
      <c r="A9" s="9" t="s">
        <v>30</v>
      </c>
      <c r="B9" s="12">
        <f>SQRT((0.5^2)*(0.673^2) + (0.5^2)*(0.65^2) + 2*0.5*0.5*(-0.2)*0.673*0.65)</f>
        <v>0.41846415617111105</v>
      </c>
    </row>
  </sheetData>
  <phoneticPr fontId="2" type="noConversion"/>
  <conditionalFormatting sqref="C2:C5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4AC6-6DAB-459B-A473-000ECFA82AFD}">
  <dimension ref="A1:B2"/>
  <sheetViews>
    <sheetView workbookViewId="0">
      <selection sqref="A1:B4"/>
    </sheetView>
  </sheetViews>
  <sheetFormatPr defaultRowHeight="14.4" x14ac:dyDescent="0.3"/>
  <sheetData>
    <row r="1" spans="1:2" ht="43.2" x14ac:dyDescent="0.3">
      <c r="A1" s="5"/>
      <c r="B1" s="2" t="s">
        <v>22</v>
      </c>
    </row>
    <row r="2" spans="1:2" ht="43.2" x14ac:dyDescent="0.3">
      <c r="A2" s="5">
        <v>3.4000000000000002E-2</v>
      </c>
      <c r="B2" s="2" t="s">
        <v>23</v>
      </c>
    </row>
  </sheetData>
  <conditionalFormatting sqref="A1:B2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shreehari p</dc:creator>
  <cp:lastModifiedBy>shreehari p</cp:lastModifiedBy>
  <dcterms:created xsi:type="dcterms:W3CDTF">2025-06-20T06:33:43Z</dcterms:created>
  <dcterms:modified xsi:type="dcterms:W3CDTF">2025-06-20T08:18:59Z</dcterms:modified>
</cp:coreProperties>
</file>